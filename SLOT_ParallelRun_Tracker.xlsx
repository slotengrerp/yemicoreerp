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Go-Live Criteria" sheetId="2" state="visible" r:id="rId4"/>
    <sheet name="Accountant Observations" sheetId="3" state="visible" r:id="rId5"/>
    <sheet name="Weekly Reconciliation" sheetId="4" state="visible" r:id="rId6"/>
    <sheet name="Rollback Pla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<sst xmlns="http://schemas.openxmlformats.org/spreadsheetml/2006/main" count="117" uniqueCount="76">
  <si>
    <t xml:space="preserve">SLOT ERP — Parallel-Run &amp; Go-Live Tracker</t>
  </si>
  <si>
    <t xml:space="preserve">Purpose: operationalize the go-live criteria from SLOT_PreLaunch_Checklist.md into something that gets</t>
  </si>
  <si>
    <t xml:space="preserve">actually filled in week by week, rather than a static list nobody revisits.</t>
  </si>
  <si>
    <t xml:space="preserve">How to use each tab:</t>
  </si>
  <si>
    <t xml:space="preserve">  • Go-Live Criteria — the five top-level gates. All five need to be "Done" before treating SLOT ERP as</t>
  </si>
  <si>
    <t xml:space="preserve">    the sole daily system of record with no fallback. Update Status and Date as each closes.</t>
  </si>
  <si>
    <t xml:space="preserve">  • Accountant Observations — the pre-launch checklist references "eight open observations" but only</t>
  </si>
  <si>
    <t xml:space="preserve">    names five specifically (control accounts, vendor/client data quality, exchange rates, missing</t>
  </si>
  <si>
    <t xml:space="preserve">    clients, AP name corrections). The other three are listed as blank rows — confirm the full list of</t>
  </si>
  <si>
    <t xml:space="preserve">    eight directly with the accountant rather than assuming these five are the whole set.</t>
  </si>
  <si>
    <t xml:space="preserve">  • Weekly Reconciliation — the core of the parallel run. One row per area per week. Type the SLOT ERP</t>
  </si>
  <si>
    <t xml:space="preserve">    figure and the Sage figure; Variance and % Variance calculate automatically. Row 5 (shaded) is a</t>
  </si>
  <si>
    <t xml:space="preserve">    worked EXAMPLE showing the expected format — delete or overwrite it, don't leave it mixed in with</t>
  </si>
  <si>
    <t xml:space="preserve">    real figures. Duplicate the 6-area block for each additional week (one month minimum = ~4 blocks).</t>
  </si>
  <si>
    <t xml:space="preserve">  • Rollback Plan — fill in and get both sides to sign before cutover, not after.</t>
  </si>
  <si>
    <t xml:space="preserve">Color key: blue text = type your own value here. Black text = calculated automatically, do not overwrite.</t>
  </si>
  <si>
    <t xml:space="preserve">Yellow shading = worked example — for format reference only.</t>
  </si>
  <si>
    <t xml:space="preserve">Go-Live Criteria</t>
  </si>
  <si>
    <t xml:space="preserve">All five required — not most of these. Per SLOT_PreLaunch_Checklist.md.</t>
  </si>
  <si>
    <t xml:space="preserve">#</t>
  </si>
  <si>
    <t xml:space="preserve">Criterion</t>
  </si>
  <si>
    <t xml:space="preserve">Status</t>
  </si>
  <si>
    <t xml:space="preserve">Date Confirmed</t>
  </si>
  <si>
    <t xml:space="preserve">Notes</t>
  </si>
  <si>
    <t xml:space="preserve">Section 1 fully checked — RLS confirmed enabled + FORCED on both company_data and app_users</t>
  </si>
  <si>
    <t xml:space="preserve">Not Started</t>
  </si>
  <si>
    <t xml:space="preserve">All eight accountant observations confirmed closed (not "in progress")</t>
  </si>
  <si>
    <t xml:space="preserve">One full parallel-run period completed — numbers reconciled or discrepancies explained</t>
  </si>
  <si>
    <t xml:space="preserve">Accountant has signed off specifically on Section 4 (depreciation, FX reval, credit limits, Terminal Ops, control accounts, trial balance/aging)</t>
  </si>
  <si>
    <t xml:space="preserve">Rollback plan agreed before cutover, not after</t>
  </si>
  <si>
    <t xml:space="preserve">Accountant Observations</t>
  </si>
  <si>
    <t xml:space="preserve">The checklist references eight; only five are named in the source docs. Confirm the rest with the accountant directly.</t>
  </si>
  <si>
    <t xml:space="preserve">Observation</t>
  </si>
  <si>
    <t xml:space="preserve">Confirmed By</t>
  </si>
  <si>
    <t xml:space="preserve">Date</t>
  </si>
  <si>
    <t xml:space="preserve">Control accounts reconcile correctly</t>
  </si>
  <si>
    <t xml:space="preserve">Open</t>
  </si>
  <si>
    <t xml:space="preserve">Vendor / client data quality</t>
  </si>
  <si>
    <t xml:space="preserve">Exchange rates</t>
  </si>
  <si>
    <t xml:space="preserve">Missing clients</t>
  </si>
  <si>
    <t xml:space="preserve">AP name corrections</t>
  </si>
  <si>
    <t xml:space="preserve">(unconfirmed — ask accountant for #6)</t>
  </si>
  <si>
    <t xml:space="preserve">(unconfirmed — ask accountant for #7)</t>
  </si>
  <si>
    <t xml:space="preserve">(unconfirmed — ask accountant for #8)</t>
  </si>
  <si>
    <t xml:space="preserve">Weekly Reconciliation</t>
  </si>
  <si>
    <t xml:space="preserve">One row per priority area per week. Reconcile weekly, not just at period end — catching a discrepancy after 3 days is cheap; after 30 is not.</t>
  </si>
  <si>
    <t xml:space="preserve">Week #</t>
  </si>
  <si>
    <t xml:space="preserve">Week Starting</t>
  </si>
  <si>
    <t xml:space="preserve">Priority Area</t>
  </si>
  <si>
    <t xml:space="preserve">SLOT ERP Figure (₦)</t>
  </si>
  <si>
    <t xml:space="preserve">Sage Figure (₦)</t>
  </si>
  <si>
    <t xml:space="preserve">Variance (₦)</t>
  </si>
  <si>
    <t xml:space="preserve">% Variance</t>
  </si>
  <si>
    <t xml:space="preserve">Explained?</t>
  </si>
  <si>
    <t xml:space="preserve">Explanation / Notes</t>
  </si>
  <si>
    <t xml:space="preserve">Reconciled By</t>
  </si>
  <si>
    <t xml:space="preserve">Date Signed</t>
  </si>
  <si>
    <t xml:space="preserve">EXAMPLE</t>
  </si>
  <si>
    <t xml:space="preserve">Depreciation postings (sample of fixed assets)</t>
  </si>
  <si>
    <t xml:space="preserve">Y</t>
  </si>
  <si>
    <t xml:space="preserve">FX revaluation (unrealized G/L, 2-3 FC balances)</t>
  </si>
  <si>
    <t xml:space="preserve">N</t>
  </si>
  <si>
    <t xml:space="preserve">Timing difference on FX rate applied — confirm with accountant</t>
  </si>
  <si>
    <t xml:space="preserve">Credit limit overrides (activity log attribution)</t>
  </si>
  <si>
    <t xml:space="preserve">Terminal Ops (standalone P&amp;L/BS, one full BoL lifecycle)</t>
  </si>
  <si>
    <t xml:space="preserve">Control accounts (2001-2005, 6002, 7001)</t>
  </si>
  <si>
    <t xml:space="preserve">Trial balance + AR/AP aging</t>
  </si>
  <si>
    <t xml:space="preserve">Rollback Plan</t>
  </si>
  <si>
    <t xml:space="preserve">Agree this BEFORE cutover, not after.</t>
  </si>
  <si>
    <t xml:space="preserve">Current system (Sage) stays available until</t>
  </si>
  <si>
    <t xml:space="preserve">Who can trigger a rollback (name / role)</t>
  </si>
  <si>
    <t xml:space="preserve">Condition that triggers rollback</t>
  </si>
  <si>
    <t xml:space="preserve">e.g. trial balance doesn't tie out within [X] for two consecutive weeks</t>
  </si>
  <si>
    <t xml:space="preserve">Agreed by — SLOT Engineering (name, title)</t>
  </si>
  <si>
    <t xml:space="preserve">Agreed by — Mollernik Global Services (name, title)</t>
  </si>
  <si>
    <t xml:space="preserve">Date agreed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</si>
</sst>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5C2A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5C2A"/>
        <bgColor rgb="FF333333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2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5"/>
  </cols>
  <sheetData>
    <row r="1" customFormat="false" ht="24" hidden="false" customHeight="true" outlineLevel="0" collapsed="false">
      <c r="A1" s="1" t="s">
        <v>0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3</v>
      </c>
    </row>
    <row r="8" customFormat="false" ht="15" hidden="false" customHeight="false" outlineLevel="0" collapsed="false">
      <c r="A8" s="2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5"/>
    <col collapsed="false" customWidth="true" hidden="false" outlineLevel="0" max="4" min="3" style="0" width="16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3" t="s">
        <v>17</v>
      </c>
      <c r="B1" s="3"/>
      <c r="C1" s="3"/>
      <c r="D1" s="3"/>
      <c r="E1" s="3"/>
    </row>
    <row r="2" customFormat="false" ht="18" hidden="false" customHeight="true" outlineLevel="0" collapsed="false">
      <c r="A2" s="4" t="s">
        <v>18</v>
      </c>
      <c r="B2" s="4"/>
      <c r="C2" s="4"/>
      <c r="D2" s="4"/>
      <c r="E2" s="4"/>
    </row>
    <row r="4" customFormat="false" ht="15" hidden="false" customHeight="false" outlineLevel="0" collapsed="false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</row>
    <row r="5" customFormat="false" ht="30" hidden="false" customHeight="true" outlineLevel="0" collapsed="false">
      <c r="A5" s="6" t="n">
        <v>1</v>
      </c>
      <c r="B5" s="7" t="s">
        <v>24</v>
      </c>
      <c r="C5" s="8" t="s">
        <v>25</v>
      </c>
      <c r="D5" s="8"/>
      <c r="E5" s="8"/>
    </row>
    <row r="6" customFormat="false" ht="30" hidden="false" customHeight="true" outlineLevel="0" collapsed="false">
      <c r="A6" s="6" t="n">
        <v>2</v>
      </c>
      <c r="B6" s="7" t="s">
        <v>26</v>
      </c>
      <c r="C6" s="8" t="s">
        <v>25</v>
      </c>
      <c r="D6" s="8"/>
      <c r="E6" s="8"/>
    </row>
    <row r="7" customFormat="false" ht="30" hidden="false" customHeight="true" outlineLevel="0" collapsed="false">
      <c r="A7" s="6" t="n">
        <v>3</v>
      </c>
      <c r="B7" s="7" t="s">
        <v>27</v>
      </c>
      <c r="C7" s="8" t="s">
        <v>25</v>
      </c>
      <c r="D7" s="8"/>
      <c r="E7" s="8"/>
    </row>
    <row r="8" customFormat="false" ht="30" hidden="false" customHeight="true" outlineLevel="0" collapsed="false">
      <c r="A8" s="6" t="n">
        <v>4</v>
      </c>
      <c r="B8" s="7" t="s">
        <v>28</v>
      </c>
      <c r="C8" s="8" t="s">
        <v>25</v>
      </c>
      <c r="D8" s="8"/>
      <c r="E8" s="8"/>
    </row>
    <row r="9" customFormat="false" ht="30" hidden="false" customHeight="true" outlineLevel="0" collapsed="false">
      <c r="A9" s="6" t="n">
        <v>5</v>
      </c>
      <c r="B9" s="7" t="s">
        <v>29</v>
      </c>
      <c r="C9" s="8" t="s">
        <v>25</v>
      </c>
      <c r="D9" s="8"/>
      <c r="E9" s="8"/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C5:C9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5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3" t="s">
        <v>30</v>
      </c>
      <c r="B1" s="3"/>
      <c r="C1" s="3"/>
      <c r="D1" s="3"/>
      <c r="E1" s="3"/>
      <c r="F1" s="3"/>
    </row>
    <row r="2" customFormat="false" ht="18" hidden="false" customHeight="true" outlineLevel="0" collapsed="false">
      <c r="A2" s="4" t="s">
        <v>31</v>
      </c>
      <c r="B2" s="4"/>
      <c r="C2" s="4"/>
      <c r="D2" s="4"/>
      <c r="E2" s="4"/>
      <c r="F2" s="4"/>
    </row>
    <row r="4" customFormat="false" ht="15" hidden="false" customHeight="false" outlineLevel="0" collapsed="false">
      <c r="A4" s="5" t="s">
        <v>19</v>
      </c>
      <c r="B4" s="5" t="s">
        <v>32</v>
      </c>
      <c r="C4" s="5" t="s">
        <v>21</v>
      </c>
      <c r="D4" s="5" t="s">
        <v>33</v>
      </c>
      <c r="E4" s="5" t="s">
        <v>34</v>
      </c>
      <c r="F4" s="5" t="s">
        <v>23</v>
      </c>
    </row>
    <row r="5" customFormat="false" ht="21.75" hidden="false" customHeight="true" outlineLevel="0" collapsed="false">
      <c r="A5" s="6" t="n">
        <v>1</v>
      </c>
      <c r="B5" s="7" t="s">
        <v>35</v>
      </c>
      <c r="C5" s="8" t="s">
        <v>36</v>
      </c>
      <c r="D5" s="8"/>
      <c r="E5" s="8"/>
      <c r="F5" s="8"/>
    </row>
    <row r="6" customFormat="false" ht="21.75" hidden="false" customHeight="true" outlineLevel="0" collapsed="false">
      <c r="A6" s="6" t="n">
        <v>2</v>
      </c>
      <c r="B6" s="7" t="s">
        <v>37</v>
      </c>
      <c r="C6" s="8" t="s">
        <v>36</v>
      </c>
      <c r="D6" s="8"/>
      <c r="E6" s="8"/>
      <c r="F6" s="8"/>
    </row>
    <row r="7" customFormat="false" ht="21.75" hidden="false" customHeight="true" outlineLevel="0" collapsed="false">
      <c r="A7" s="6" t="n">
        <v>3</v>
      </c>
      <c r="B7" s="7" t="s">
        <v>38</v>
      </c>
      <c r="C7" s="8" t="s">
        <v>36</v>
      </c>
      <c r="D7" s="8"/>
      <c r="E7" s="8"/>
      <c r="F7" s="8"/>
    </row>
    <row r="8" customFormat="false" ht="21.75" hidden="false" customHeight="true" outlineLevel="0" collapsed="false">
      <c r="A8" s="6" t="n">
        <v>4</v>
      </c>
      <c r="B8" s="7" t="s">
        <v>39</v>
      </c>
      <c r="C8" s="8" t="s">
        <v>36</v>
      </c>
      <c r="D8" s="8"/>
      <c r="E8" s="8"/>
      <c r="F8" s="8"/>
    </row>
    <row r="9" customFormat="false" ht="21.75" hidden="false" customHeight="true" outlineLevel="0" collapsed="false">
      <c r="A9" s="6" t="n">
        <v>5</v>
      </c>
      <c r="B9" s="7" t="s">
        <v>40</v>
      </c>
      <c r="C9" s="8" t="s">
        <v>36</v>
      </c>
      <c r="D9" s="8"/>
      <c r="E9" s="8"/>
      <c r="F9" s="8"/>
    </row>
    <row r="10" customFormat="false" ht="21.75" hidden="false" customHeight="true" outlineLevel="0" collapsed="false">
      <c r="A10" s="6" t="n">
        <v>6</v>
      </c>
      <c r="B10" s="9" t="s">
        <v>41</v>
      </c>
      <c r="C10" s="8" t="s">
        <v>36</v>
      </c>
      <c r="D10" s="8"/>
      <c r="E10" s="8"/>
      <c r="F10" s="8"/>
    </row>
    <row r="11" customFormat="false" ht="21.75" hidden="false" customHeight="true" outlineLevel="0" collapsed="false">
      <c r="A11" s="6" t="n">
        <v>7</v>
      </c>
      <c r="B11" s="9" t="s">
        <v>42</v>
      </c>
      <c r="C11" s="8" t="s">
        <v>36</v>
      </c>
      <c r="D11" s="8"/>
      <c r="E11" s="8"/>
      <c r="F11" s="8"/>
    </row>
    <row r="12" customFormat="false" ht="21.75" hidden="false" customHeight="true" outlineLevel="0" collapsed="false">
      <c r="A12" s="6" t="n">
        <v>8</v>
      </c>
      <c r="B12" s="9" t="s">
        <v>43</v>
      </c>
      <c r="C12" s="8" t="s">
        <v>36</v>
      </c>
      <c r="D12" s="8"/>
      <c r="E12" s="8"/>
      <c r="F12" s="8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C5:C12" type="list">
      <formula1>"Open,Closed"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32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21.75" hidden="false" customHeight="true" outlineLevel="0" collapsed="false">
      <c r="A1" s="3" t="s">
        <v>44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8" hidden="false" customHeight="true" outlineLevel="0" collapsed="false">
      <c r="A2" s="4" t="s">
        <v>45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customFormat="false" ht="26.85" hidden="false" customHeight="false" outlineLevel="0" collapsed="false">
      <c r="A4" s="5" t="s">
        <v>46</v>
      </c>
      <c r="B4" s="5" t="s">
        <v>47</v>
      </c>
      <c r="C4" s="5" t="s">
        <v>48</v>
      </c>
      <c r="D4" s="5" t="s">
        <v>49</v>
      </c>
      <c r="E4" s="5" t="s">
        <v>50</v>
      </c>
      <c r="F4" s="5" t="s">
        <v>51</v>
      </c>
      <c r="G4" s="5" t="s">
        <v>52</v>
      </c>
      <c r="H4" s="5" t="s">
        <v>53</v>
      </c>
      <c r="I4" s="5" t="s">
        <v>54</v>
      </c>
      <c r="J4" s="5" t="s">
        <v>55</v>
      </c>
      <c r="K4" s="5" t="s">
        <v>56</v>
      </c>
    </row>
    <row r="5" customFormat="false" ht="27.75" hidden="false" customHeight="true" outlineLevel="0" collapsed="false">
      <c r="A5" s="10" t="n">
        <v>1</v>
      </c>
      <c r="B5" s="11" t="s">
        <v>57</v>
      </c>
      <c r="C5" s="12" t="s">
        <v>58</v>
      </c>
      <c r="D5" s="13" t="n">
        <v>1250000</v>
      </c>
      <c r="E5" s="13" t="n">
        <v>1250000</v>
      </c>
      <c r="F5" s="14" t="n">
        <f aca="false">D5-E5</f>
        <v>0</v>
      </c>
      <c r="G5" s="15" t="n">
        <f aca="false">IF(E5=0,"-",F5/E5)</f>
        <v>0</v>
      </c>
      <c r="H5" s="16" t="s">
        <v>59</v>
      </c>
      <c r="I5" s="17"/>
      <c r="J5" s="16"/>
      <c r="K5" s="16"/>
    </row>
    <row r="6" customFormat="false" ht="27.75" hidden="false" customHeight="true" outlineLevel="0" collapsed="false">
      <c r="A6" s="10" t="n">
        <v>1</v>
      </c>
      <c r="B6" s="11" t="s">
        <v>57</v>
      </c>
      <c r="C6" s="12" t="s">
        <v>60</v>
      </c>
      <c r="D6" s="13" t="n">
        <v>84500</v>
      </c>
      <c r="E6" s="13" t="n">
        <v>82000</v>
      </c>
      <c r="F6" s="14" t="n">
        <f aca="false">D6-E6</f>
        <v>2500</v>
      </c>
      <c r="G6" s="15" t="n">
        <f aca="false">IF(E6=0,"-",F6/E6)</f>
        <v>0.0304878048780488</v>
      </c>
      <c r="H6" s="16" t="s">
        <v>61</v>
      </c>
      <c r="I6" s="17" t="s">
        <v>62</v>
      </c>
      <c r="J6" s="16"/>
      <c r="K6" s="16"/>
    </row>
    <row r="7" customFormat="false" ht="27.75" hidden="false" customHeight="true" outlineLevel="0" collapsed="false">
      <c r="A7" s="10" t="n">
        <v>1</v>
      </c>
      <c r="B7" s="11" t="s">
        <v>57</v>
      </c>
      <c r="C7" s="12" t="s">
        <v>63</v>
      </c>
      <c r="D7" s="13" t="n">
        <v>0</v>
      </c>
      <c r="E7" s="13" t="n">
        <v>0</v>
      </c>
      <c r="F7" s="14" t="n">
        <f aca="false">D7-E7</f>
        <v>0</v>
      </c>
      <c r="G7" s="15" t="str">
        <f aca="false">IF(E7=0,"-",F7/E7)</f>
        <v>-</v>
      </c>
      <c r="H7" s="16" t="s">
        <v>59</v>
      </c>
      <c r="I7" s="17"/>
      <c r="J7" s="16"/>
      <c r="K7" s="16"/>
    </row>
    <row r="8" customFormat="false" ht="27.75" hidden="false" customHeight="true" outlineLevel="0" collapsed="false">
      <c r="A8" s="10" t="n">
        <v>1</v>
      </c>
      <c r="B8" s="11" t="s">
        <v>57</v>
      </c>
      <c r="C8" s="12" t="s">
        <v>64</v>
      </c>
      <c r="D8" s="13" t="n">
        <v>3400000</v>
      </c>
      <c r="E8" s="13" t="n">
        <v>3400000</v>
      </c>
      <c r="F8" s="14" t="n">
        <f aca="false">D8-E8</f>
        <v>0</v>
      </c>
      <c r="G8" s="15" t="n">
        <f aca="false">IF(E8=0,"-",F8/E8)</f>
        <v>0</v>
      </c>
      <c r="H8" s="16" t="s">
        <v>59</v>
      </c>
      <c r="I8" s="17"/>
      <c r="J8" s="16"/>
      <c r="K8" s="16"/>
    </row>
    <row r="9" customFormat="false" ht="27.75" hidden="false" customHeight="true" outlineLevel="0" collapsed="false">
      <c r="A9" s="10" t="n">
        <v>1</v>
      </c>
      <c r="B9" s="11" t="s">
        <v>57</v>
      </c>
      <c r="C9" s="12" t="s">
        <v>65</v>
      </c>
      <c r="D9" s="13" t="n">
        <v>42500000</v>
      </c>
      <c r="E9" s="13" t="n">
        <v>42500000</v>
      </c>
      <c r="F9" s="14" t="n">
        <f aca="false">D9-E9</f>
        <v>0</v>
      </c>
      <c r="G9" s="15" t="n">
        <f aca="false">IF(E9=0,"-",F9/E9)</f>
        <v>0</v>
      </c>
      <c r="H9" s="16" t="s">
        <v>59</v>
      </c>
      <c r="I9" s="17"/>
      <c r="J9" s="16"/>
      <c r="K9" s="16"/>
    </row>
    <row r="10" customFormat="false" ht="27.75" hidden="false" customHeight="true" outlineLevel="0" collapsed="false">
      <c r="A10" s="10" t="n">
        <v>1</v>
      </c>
      <c r="B10" s="11" t="s">
        <v>57</v>
      </c>
      <c r="C10" s="12" t="s">
        <v>66</v>
      </c>
      <c r="D10" s="13" t="n">
        <v>127750000</v>
      </c>
      <c r="E10" s="13" t="n">
        <v>127750000</v>
      </c>
      <c r="F10" s="14" t="n">
        <f aca="false">D10-E10</f>
        <v>0</v>
      </c>
      <c r="G10" s="15" t="n">
        <f aca="false">IF(E10=0,"-",F10/E10)</f>
        <v>0</v>
      </c>
      <c r="H10" s="16" t="s">
        <v>59</v>
      </c>
      <c r="I10" s="17"/>
      <c r="J10" s="16"/>
      <c r="K10" s="16"/>
    </row>
    <row r="11" customFormat="false" ht="25.5" hidden="false" customHeight="true" outlineLevel="0" collapsed="false">
      <c r="A11" s="6" t="n">
        <v>2</v>
      </c>
      <c r="B11" s="8"/>
      <c r="C11" s="18" t="s">
        <v>58</v>
      </c>
      <c r="D11" s="19"/>
      <c r="E11" s="19"/>
      <c r="F11" s="20" t="str">
        <f aca="false">IF(OR(D11="",E11=""),"",D11-E11)</f>
        <v/>
      </c>
      <c r="G11" s="21" t="str">
        <f aca="false">IF(OR(D11="",E11="",E11=0),"",F11/E11)</f>
        <v/>
      </c>
      <c r="H11" s="8"/>
      <c r="I11" s="22"/>
      <c r="J11" s="8"/>
      <c r="K11" s="8"/>
    </row>
    <row r="12" customFormat="false" ht="25.5" hidden="false" customHeight="true" outlineLevel="0" collapsed="false">
      <c r="A12" s="6" t="n">
        <v>2</v>
      </c>
      <c r="B12" s="8"/>
      <c r="C12" s="18" t="s">
        <v>60</v>
      </c>
      <c r="D12" s="19"/>
      <c r="E12" s="19"/>
      <c r="F12" s="20" t="str">
        <f aca="false">IF(OR(D12="",E12=""),"",D12-E12)</f>
        <v/>
      </c>
      <c r="G12" s="21" t="str">
        <f aca="false">IF(OR(D12="",E12="",E12=0),"",F12/E12)</f>
        <v/>
      </c>
      <c r="H12" s="8"/>
      <c r="I12" s="22"/>
      <c r="J12" s="8"/>
      <c r="K12" s="8"/>
    </row>
    <row r="13" customFormat="false" ht="25.5" hidden="false" customHeight="true" outlineLevel="0" collapsed="false">
      <c r="A13" s="6" t="n">
        <v>2</v>
      </c>
      <c r="B13" s="8"/>
      <c r="C13" s="18" t="s">
        <v>63</v>
      </c>
      <c r="D13" s="19"/>
      <c r="E13" s="19"/>
      <c r="F13" s="20" t="str">
        <f aca="false">IF(OR(D13="",E13=""),"",D13-E13)</f>
        <v/>
      </c>
      <c r="G13" s="21" t="str">
        <f aca="false">IF(OR(D13="",E13="",E13=0),"",F13/E13)</f>
        <v/>
      </c>
      <c r="H13" s="8"/>
      <c r="I13" s="22"/>
      <c r="J13" s="8"/>
      <c r="K13" s="8"/>
    </row>
    <row r="14" customFormat="false" ht="25.5" hidden="false" customHeight="true" outlineLevel="0" collapsed="false">
      <c r="A14" s="6" t="n">
        <v>2</v>
      </c>
      <c r="B14" s="8"/>
      <c r="C14" s="18" t="s">
        <v>64</v>
      </c>
      <c r="D14" s="19"/>
      <c r="E14" s="19"/>
      <c r="F14" s="20" t="str">
        <f aca="false">IF(OR(D14="",E14=""),"",D14-E14)</f>
        <v/>
      </c>
      <c r="G14" s="21" t="str">
        <f aca="false">IF(OR(D14="",E14="",E14=0),"",F14/E14)</f>
        <v/>
      </c>
      <c r="H14" s="8"/>
      <c r="I14" s="22"/>
      <c r="J14" s="8"/>
      <c r="K14" s="8"/>
    </row>
    <row r="15" customFormat="false" ht="25.5" hidden="false" customHeight="true" outlineLevel="0" collapsed="false">
      <c r="A15" s="6" t="n">
        <v>2</v>
      </c>
      <c r="B15" s="8"/>
      <c r="C15" s="18" t="s">
        <v>65</v>
      </c>
      <c r="D15" s="19"/>
      <c r="E15" s="19"/>
      <c r="F15" s="20" t="str">
        <f aca="false">IF(OR(D15="",E15=""),"",D15-E15)</f>
        <v/>
      </c>
      <c r="G15" s="21" t="str">
        <f aca="false">IF(OR(D15="",E15="",E15=0),"",F15/E15)</f>
        <v/>
      </c>
      <c r="H15" s="8"/>
      <c r="I15" s="22"/>
      <c r="J15" s="8"/>
      <c r="K15" s="8"/>
    </row>
    <row r="16" customFormat="false" ht="25.5" hidden="false" customHeight="true" outlineLevel="0" collapsed="false">
      <c r="A16" s="6" t="n">
        <v>2</v>
      </c>
      <c r="B16" s="8"/>
      <c r="C16" s="18" t="s">
        <v>66</v>
      </c>
      <c r="D16" s="19"/>
      <c r="E16" s="19"/>
      <c r="F16" s="20" t="str">
        <f aca="false">IF(OR(D16="",E16=""),"",D16-E16)</f>
        <v/>
      </c>
      <c r="G16" s="21" t="str">
        <f aca="false">IF(OR(D16="",E16="",E16=0),"",F16/E16)</f>
        <v/>
      </c>
      <c r="H16" s="8"/>
      <c r="I16" s="22"/>
      <c r="J16" s="8"/>
      <c r="K16" s="8"/>
    </row>
    <row r="17" customFormat="false" ht="25.5" hidden="false" customHeight="true" outlineLevel="0" collapsed="false">
      <c r="A17" s="6" t="n">
        <v>3</v>
      </c>
      <c r="B17" s="8"/>
      <c r="C17" s="18" t="s">
        <v>58</v>
      </c>
      <c r="D17" s="19"/>
      <c r="E17" s="19"/>
      <c r="F17" s="20" t="str">
        <f aca="false">IF(OR(D17="",E17=""),"",D17-E17)</f>
        <v/>
      </c>
      <c r="G17" s="21" t="str">
        <f aca="false">IF(OR(D17="",E17="",E17=0),"",F17/E17)</f>
        <v/>
      </c>
      <c r="H17" s="8"/>
      <c r="I17" s="22"/>
      <c r="J17" s="8"/>
      <c r="K17" s="8"/>
    </row>
    <row r="18" customFormat="false" ht="25.5" hidden="false" customHeight="true" outlineLevel="0" collapsed="false">
      <c r="A18" s="6" t="n">
        <v>3</v>
      </c>
      <c r="B18" s="8"/>
      <c r="C18" s="18" t="s">
        <v>60</v>
      </c>
      <c r="D18" s="19"/>
      <c r="E18" s="19"/>
      <c r="F18" s="20" t="str">
        <f aca="false">IF(OR(D18="",E18=""),"",D18-E18)</f>
        <v/>
      </c>
      <c r="G18" s="21" t="str">
        <f aca="false">IF(OR(D18="",E18="",E18=0),"",F18/E18)</f>
        <v/>
      </c>
      <c r="H18" s="8"/>
      <c r="I18" s="22"/>
      <c r="J18" s="8"/>
      <c r="K18" s="8"/>
    </row>
    <row r="19" customFormat="false" ht="25.5" hidden="false" customHeight="true" outlineLevel="0" collapsed="false">
      <c r="A19" s="6" t="n">
        <v>3</v>
      </c>
      <c r="B19" s="8"/>
      <c r="C19" s="18" t="s">
        <v>63</v>
      </c>
      <c r="D19" s="19"/>
      <c r="E19" s="19"/>
      <c r="F19" s="20" t="str">
        <f aca="false">IF(OR(D19="",E19=""),"",D19-E19)</f>
        <v/>
      </c>
      <c r="G19" s="21" t="str">
        <f aca="false">IF(OR(D19="",E19="",E19=0),"",F19/E19)</f>
        <v/>
      </c>
      <c r="H19" s="8"/>
      <c r="I19" s="22"/>
      <c r="J19" s="8"/>
      <c r="K19" s="8"/>
    </row>
    <row r="20" customFormat="false" ht="25.5" hidden="false" customHeight="true" outlineLevel="0" collapsed="false">
      <c r="A20" s="6" t="n">
        <v>3</v>
      </c>
      <c r="B20" s="8"/>
      <c r="C20" s="18" t="s">
        <v>64</v>
      </c>
      <c r="D20" s="19"/>
      <c r="E20" s="19"/>
      <c r="F20" s="20" t="str">
        <f aca="false">IF(OR(D20="",E20=""),"",D20-E20)</f>
        <v/>
      </c>
      <c r="G20" s="21" t="str">
        <f aca="false">IF(OR(D20="",E20="",E20=0),"",F20/E20)</f>
        <v/>
      </c>
      <c r="H20" s="8"/>
      <c r="I20" s="22"/>
      <c r="J20" s="8"/>
      <c r="K20" s="8"/>
    </row>
    <row r="21" customFormat="false" ht="25.5" hidden="false" customHeight="true" outlineLevel="0" collapsed="false">
      <c r="A21" s="6" t="n">
        <v>3</v>
      </c>
      <c r="B21" s="8"/>
      <c r="C21" s="18" t="s">
        <v>65</v>
      </c>
      <c r="D21" s="19"/>
      <c r="E21" s="19"/>
      <c r="F21" s="20" t="str">
        <f aca="false">IF(OR(D21="",E21=""),"",D21-E21)</f>
        <v/>
      </c>
      <c r="G21" s="21" t="str">
        <f aca="false">IF(OR(D21="",E21="",E21=0),"",F21/E21)</f>
        <v/>
      </c>
      <c r="H21" s="8"/>
      <c r="I21" s="22"/>
      <c r="J21" s="8"/>
      <c r="K21" s="8"/>
    </row>
    <row r="22" customFormat="false" ht="25.5" hidden="false" customHeight="true" outlineLevel="0" collapsed="false">
      <c r="A22" s="6" t="n">
        <v>3</v>
      </c>
      <c r="B22" s="8"/>
      <c r="C22" s="18" t="s">
        <v>66</v>
      </c>
      <c r="D22" s="19"/>
      <c r="E22" s="19"/>
      <c r="F22" s="20" t="str">
        <f aca="false">IF(OR(D22="",E22=""),"",D22-E22)</f>
        <v/>
      </c>
      <c r="G22" s="21" t="str">
        <f aca="false">IF(OR(D22="",E22="",E22=0),"",F22/E22)</f>
        <v/>
      </c>
      <c r="H22" s="8"/>
      <c r="I22" s="22"/>
      <c r="J22" s="8"/>
      <c r="K22" s="8"/>
    </row>
    <row r="23" customFormat="false" ht="25.5" hidden="false" customHeight="true" outlineLevel="0" collapsed="false">
      <c r="A23" s="6" t="n">
        <v>4</v>
      </c>
      <c r="B23" s="8"/>
      <c r="C23" s="18" t="s">
        <v>58</v>
      </c>
      <c r="D23" s="19"/>
      <c r="E23" s="19"/>
      <c r="F23" s="20" t="str">
        <f aca="false">IF(OR(D23="",E23=""),"",D23-E23)</f>
        <v/>
      </c>
      <c r="G23" s="21" t="str">
        <f aca="false">IF(OR(D23="",E23="",E23=0),"",F23/E23)</f>
        <v/>
      </c>
      <c r="H23" s="8"/>
      <c r="I23" s="22"/>
      <c r="J23" s="8"/>
      <c r="K23" s="8"/>
    </row>
    <row r="24" customFormat="false" ht="25.5" hidden="false" customHeight="true" outlineLevel="0" collapsed="false">
      <c r="A24" s="6" t="n">
        <v>4</v>
      </c>
      <c r="B24" s="8"/>
      <c r="C24" s="18" t="s">
        <v>60</v>
      </c>
      <c r="D24" s="19"/>
      <c r="E24" s="19"/>
      <c r="F24" s="20" t="str">
        <f aca="false">IF(OR(D24="",E24=""),"",D24-E24)</f>
        <v/>
      </c>
      <c r="G24" s="21" t="str">
        <f aca="false">IF(OR(D24="",E24="",E24=0),"",F24/E24)</f>
        <v/>
      </c>
      <c r="H24" s="8"/>
      <c r="I24" s="22"/>
      <c r="J24" s="8"/>
      <c r="K24" s="8"/>
    </row>
    <row r="25" customFormat="false" ht="25.5" hidden="false" customHeight="true" outlineLevel="0" collapsed="false">
      <c r="A25" s="6" t="n">
        <v>4</v>
      </c>
      <c r="B25" s="8"/>
      <c r="C25" s="18" t="s">
        <v>63</v>
      </c>
      <c r="D25" s="19"/>
      <c r="E25" s="19"/>
      <c r="F25" s="20" t="str">
        <f aca="false">IF(OR(D25="",E25=""),"",D25-E25)</f>
        <v/>
      </c>
      <c r="G25" s="21" t="str">
        <f aca="false">IF(OR(D25="",E25="",E25=0),"",F25/E25)</f>
        <v/>
      </c>
      <c r="H25" s="8"/>
      <c r="I25" s="22"/>
      <c r="J25" s="8"/>
      <c r="K25" s="8"/>
    </row>
    <row r="26" customFormat="false" ht="25.5" hidden="false" customHeight="true" outlineLevel="0" collapsed="false">
      <c r="A26" s="6" t="n">
        <v>4</v>
      </c>
      <c r="B26" s="8"/>
      <c r="C26" s="18" t="s">
        <v>64</v>
      </c>
      <c r="D26" s="19"/>
      <c r="E26" s="19"/>
      <c r="F26" s="20" t="str">
        <f aca="false">IF(OR(D26="",E26=""),"",D26-E26)</f>
        <v/>
      </c>
      <c r="G26" s="21" t="str">
        <f aca="false">IF(OR(D26="",E26="",E26=0),"",F26/E26)</f>
        <v/>
      </c>
      <c r="H26" s="8"/>
      <c r="I26" s="22"/>
      <c r="J26" s="8"/>
      <c r="K26" s="8"/>
    </row>
    <row r="27" customFormat="false" ht="25.5" hidden="false" customHeight="true" outlineLevel="0" collapsed="false">
      <c r="A27" s="6" t="n">
        <v>4</v>
      </c>
      <c r="B27" s="8"/>
      <c r="C27" s="18" t="s">
        <v>65</v>
      </c>
      <c r="D27" s="19"/>
      <c r="E27" s="19"/>
      <c r="F27" s="20" t="str">
        <f aca="false">IF(OR(D27="",E27=""),"",D27-E27)</f>
        <v/>
      </c>
      <c r="G27" s="21" t="str">
        <f aca="false">IF(OR(D27="",E27="",E27=0),"",F27/E27)</f>
        <v/>
      </c>
      <c r="H27" s="8"/>
      <c r="I27" s="22"/>
      <c r="J27" s="8"/>
      <c r="K27" s="8"/>
    </row>
    <row r="28" customFormat="false" ht="25.5" hidden="false" customHeight="true" outlineLevel="0" collapsed="false">
      <c r="A28" s="6" t="n">
        <v>4</v>
      </c>
      <c r="B28" s="8"/>
      <c r="C28" s="18" t="s">
        <v>66</v>
      </c>
      <c r="D28" s="19"/>
      <c r="E28" s="19"/>
      <c r="F28" s="20" t="str">
        <f aca="false">IF(OR(D28="",E28=""),"",D28-E28)</f>
        <v/>
      </c>
      <c r="G28" s="21" t="str">
        <f aca="false">IF(OR(D28="",E28="",E28=0),"",F28/E28)</f>
        <v/>
      </c>
      <c r="H28" s="8"/>
      <c r="I28" s="22"/>
      <c r="J28" s="8"/>
      <c r="K28" s="8"/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H5:H2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0"/>
  </cols>
  <sheetData>
    <row r="1" customFormat="false" ht="21.75" hidden="false" customHeight="true" outlineLevel="0" collapsed="false">
      <c r="A1" s="3" t="s">
        <v>67</v>
      </c>
      <c r="B1" s="3"/>
    </row>
    <row r="2" customFormat="false" ht="18" hidden="false" customHeight="true" outlineLevel="0" collapsed="false">
      <c r="A2" s="4" t="s">
        <v>68</v>
      </c>
      <c r="B2" s="4"/>
    </row>
    <row r="4" customFormat="false" ht="31.5" hidden="false" customHeight="true" outlineLevel="0" collapsed="false">
      <c r="A4" s="23" t="s">
        <v>69</v>
      </c>
      <c r="B4" s="9"/>
    </row>
    <row r="5" customFormat="false" ht="31.5" hidden="false" customHeight="true" outlineLevel="0" collapsed="false">
      <c r="A5" s="23" t="s">
        <v>70</v>
      </c>
      <c r="B5" s="9"/>
    </row>
    <row r="6" customFormat="false" ht="31.5" hidden="false" customHeight="true" outlineLevel="0" collapsed="false">
      <c r="A6" s="23" t="s">
        <v>71</v>
      </c>
      <c r="B6" s="9" t="s">
        <v>72</v>
      </c>
    </row>
    <row r="7" customFormat="false" ht="31.5" hidden="false" customHeight="true" outlineLevel="0" collapsed="false">
      <c r="A7" s="23" t="s">
        <v>73</v>
      </c>
      <c r="B7" s="9"/>
    </row>
    <row r="8" customFormat="false" ht="31.5" hidden="false" customHeight="true" outlineLevel="0" collapsed="false">
      <c r="A8" s="23" t="s">
        <v>74</v>
      </c>
      <c r="B8" s="9"/>
    </row>
    <row r="9" customFormat="false" ht="31.5" hidden="false" customHeight="true" outlineLevel="0" collapsed="false">
      <c r="A9" s="23" t="s">
        <v>75</v>
      </c>
      <c r="B9" s="9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2026-07-24T08:39:51Z</dcterms:created>
  <dc:creator>openpyxl</dc:creator>
  <dc:description/>
  <dc:language>en-US</dc:language>
  <cp:lastModifiedBy/>
  <dcterms:modified xsi:type="dcterms:W3CDTF">2026-07-24T08:39:51Z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